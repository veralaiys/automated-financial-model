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7e7c6e2291636a5/VSCode Projects/automated-financial-model/"/>
    </mc:Choice>
  </mc:AlternateContent>
  <xr:revisionPtr revIDLastSave="1" documentId="11_5B9AC2F7C00C2EC26B84F56160586388F0281894" xr6:coauthVersionLast="47" xr6:coauthVersionMax="47" xr10:uidLastSave="{82642D04-FE00-4503-A4DF-F7F8BCAF946E}"/>
  <bookViews>
    <workbookView xWindow="-108" yWindow="-108" windowWidth="23256" windowHeight="14616" activeTab="5" xr2:uid="{00000000-000D-0000-FFFF-FFFF00000000}"/>
  </bookViews>
  <sheets>
    <sheet name="Summary" sheetId="1" r:id="rId1"/>
    <sheet name="Income Statement" sheetId="2" r:id="rId2"/>
    <sheet name="Balance Sheet" sheetId="3" r:id="rId3"/>
    <sheet name="Cash Flow" sheetId="4" r:id="rId4"/>
    <sheet name="DCF Valuation" sheetId="5" r:id="rId5"/>
    <sheet name="Chart" sheetId="6" r:id="rId6"/>
  </sheets>
  <calcPr calcId="0"/>
</workbook>
</file>

<file path=xl/sharedStrings.xml><?xml version="1.0" encoding="utf-8"?>
<sst xmlns="http://schemas.openxmlformats.org/spreadsheetml/2006/main" count="59" uniqueCount="43">
  <si>
    <t>Apple Inc. — Financial Model Summary</t>
  </si>
  <si>
    <t>Metric</t>
  </si>
  <si>
    <t>FY2025</t>
  </si>
  <si>
    <t>FY2024</t>
  </si>
  <si>
    <t>EBIT Margin %</t>
  </si>
  <si>
    <t>Gross Margin %</t>
  </si>
  <si>
    <t>Net Debt</t>
  </si>
  <si>
    <t>Revenue</t>
  </si>
  <si>
    <t>DCF Intrinsic Value ($B)</t>
  </si>
  <si>
    <t>—</t>
  </si>
  <si>
    <t>Total Debt</t>
  </si>
  <si>
    <t>Free Cash Flow</t>
  </si>
  <si>
    <t>Net Income</t>
  </si>
  <si>
    <t>Gross Profit</t>
  </si>
  <si>
    <t>EBIT</t>
  </si>
  <si>
    <t>EBITDA</t>
  </si>
  <si>
    <t>Net Margin %</t>
  </si>
  <si>
    <t>2025-09-30</t>
  </si>
  <si>
    <t>2024-09-30</t>
  </si>
  <si>
    <t>2023-09-30</t>
  </si>
  <si>
    <t>2022-09-30</t>
  </si>
  <si>
    <t>Total Assets</t>
  </si>
  <si>
    <t>Total Liabilities</t>
  </si>
  <si>
    <t>Total Equity</t>
  </si>
  <si>
    <t>Cash</t>
  </si>
  <si>
    <t>Check(A-L-E)</t>
  </si>
  <si>
    <t>Operating CF</t>
  </si>
  <si>
    <t>Capex</t>
  </si>
  <si>
    <t>D&amp;A</t>
  </si>
  <si>
    <t>Year</t>
  </si>
  <si>
    <t>Projected FCF</t>
  </si>
  <si>
    <t>Discounted FCF</t>
  </si>
  <si>
    <t>Year 1</t>
  </si>
  <si>
    <t>Year 2</t>
  </si>
  <si>
    <t>Year 3</t>
  </si>
  <si>
    <t>Year 4</t>
  </si>
  <si>
    <t>Year 5</t>
  </si>
  <si>
    <t>Revenue ($B)</t>
  </si>
  <si>
    <t>Free Cash Flow ($B)</t>
  </si>
  <si>
    <t>2025</t>
  </si>
  <si>
    <t>2024</t>
  </si>
  <si>
    <t>2023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</si>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</sst>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&quot;%&quot;"/>
    <numFmt numFmtId="165" formatCode="\$#,##0.0,,&quot;B&quot;"/>
    <numFmt numFmtId="166" formatCode="&quot;$&quot;#,##0.00&quot;B&quot;"/>
    <numFmt numFmtId="167" formatCode="\$#,##0.0,,\ &quot;B&quot;"/>
  </numFmts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1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164" fontId="0" fillId="0" borderId="0" xfId="0" applyNumberFormat="1"/>
    <xf numFmtId="0" fontId="3" fillId="3" borderId="0" xfId="0" applyFont="1" applyFill="1"/>
    <xf numFmtId="164" fontId="0" fillId="3" borderId="0" xfId="0" applyNumberFormat="1" applyFill="1"/>
    <xf numFmtId="165" fontId="0" fillId="0" borderId="0" xfId="0" applyNumberFormat="1"/>
    <xf numFmtId="165" fontId="0" fillId="3" borderId="0" xfId="0" applyNumberFormat="1" applyFill="1"/>
    <xf numFmtId="166" fontId="0" fillId="0" borderId="0" xfId="0" applyNumberFormat="1"/>
    <xf numFmtId="0" fontId="4" fillId="4" borderId="0" xfId="0" applyFont="1" applyFill="1" applyAlignment="1">
      <alignment horizontal="center"/>
    </xf>
    <xf numFmtId="167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7" fontId="5" fillId="3" borderId="0" xfId="0" applyNumberFormat="1" applyFont="1" applyFill="1" applyAlignment="1">
      <alignment horizontal="right"/>
    </xf>
    <xf numFmtId="164" fontId="5" fillId="3" borderId="0" xfId="0" applyNumberFormat="1" applyFont="1" applyFill="1" applyAlignment="1">
      <alignment horizontal="right"/>
    </xf>
    <xf numFmtId="0" fontId="5" fillId="0" borderId="0" xfId="0" applyFont="1" applyAlignment="1">
      <alignment horizontal="right"/>
    </xf>
    <xf numFmtId="0" fontId="5" fillId="3" borderId="0" xfId="0" applyFont="1" applyFill="1" applyAlignment="1">
      <alignment horizontal="right"/>
    </xf>
    <xf numFmtId="166" fontId="5" fillId="0" borderId="0" xfId="0" applyNumberFormat="1" applyFont="1" applyAlignment="1">
      <alignment horizontal="right"/>
    </xf>
    <xf numFmtId="166" fontId="5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SG"/>
              <a:t>Apple - Revenue vs Free Cash Flow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Chart!$B$1</c:f>
              <c:strCache>
                <c:ptCount val="1"/>
                <c:pt idx="0">
                  <c:v>Revenue ($B)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Chart!$A$2:$A$5</c:f>
              <c:strCache>
                <c:ptCount val="4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</c:strCache>
            </c:strRef>
          </c:cat>
          <c:val>
            <c:numRef>
              <c:f>Chart!$B$2:$B$5</c:f>
              <c:numCache>
                <c:formatCode>General</c:formatCode>
                <c:ptCount val="4"/>
                <c:pt idx="0">
                  <c:v>416.2</c:v>
                </c:pt>
                <c:pt idx="1">
                  <c:v>391</c:v>
                </c:pt>
                <c:pt idx="2">
                  <c:v>383.3</c:v>
                </c:pt>
                <c:pt idx="3">
                  <c:v>394.3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EA-42B0-8279-E35F95D763A1}"/>
            </c:ext>
          </c:extLst>
        </c:ser>
        <c:ser>
          <c:idx val="1"/>
          <c:order val="1"/>
          <c:tx>
            <c:strRef>
              <c:f>Chart!$C$1</c:f>
              <c:strCache>
                <c:ptCount val="1"/>
                <c:pt idx="0">
                  <c:v>Free Cash Flow ($B)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Chart!$A$2:$A$5</c:f>
              <c:strCache>
                <c:ptCount val="4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</c:strCache>
            </c:strRef>
          </c:cat>
          <c:val>
            <c:numRef>
              <c:f>Chart!$C$2:$C$5</c:f>
              <c:numCache>
                <c:formatCode>General</c:formatCode>
                <c:ptCount val="4"/>
                <c:pt idx="0">
                  <c:v>98.8</c:v>
                </c:pt>
                <c:pt idx="1">
                  <c:v>108.8</c:v>
                </c:pt>
                <c:pt idx="2">
                  <c:v>99.6</c:v>
                </c:pt>
                <c:pt idx="3">
                  <c:v>111.4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EA-42B0-8279-E35F95D76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2"/>
  <sheetViews>
    <sheetView workbookViewId="0"/>
  </sheetViews>
  <sheetFormatPr defaultRowHeight="14.4" x14ac:dyDescent="0.3"/>
  <cols>
    <col min="2" max="2" width="28" customWidth="1"/>
    <col min="3" max="3" width="26" customWidth="1"/>
    <col min="4" max="4" width="16" customWidth="1"/>
  </cols>
  <sheetData>
    <row r="2" spans="2:4" ht="18" x14ac:dyDescent="0.35">
      <c r="B2" s="1" t="s">
        <v>0</v>
      </c>
    </row>
    <row r="4" spans="2:4" x14ac:dyDescent="0.3">
      <c r="B4" s="2" t="s">
        <v>1</v>
      </c>
      <c r="C4" s="2" t="s">
        <v>2</v>
      </c>
      <c r="D4" s="2" t="s">
        <v>3</v>
      </c>
    </row>
    <row r="5" spans="2:4" x14ac:dyDescent="0.3">
      <c r="B5" s="3" t="s">
        <v>4</v>
      </c>
      <c r="C5" s="4">
        <v>31.97</v>
      </c>
      <c r="D5" s="4">
        <v>31.51</v>
      </c>
    </row>
    <row r="6" spans="2:4" x14ac:dyDescent="0.3">
      <c r="B6" s="5" t="s">
        <v>5</v>
      </c>
      <c r="C6" s="6">
        <v>46.91</v>
      </c>
      <c r="D6" s="6">
        <v>46.21</v>
      </c>
    </row>
    <row r="7" spans="2:4" x14ac:dyDescent="0.3">
      <c r="B7" s="3" t="s">
        <v>6</v>
      </c>
      <c r="C7" s="7">
        <v>62723000000</v>
      </c>
      <c r="D7" s="7">
        <v>76686000000</v>
      </c>
    </row>
    <row r="8" spans="2:4" x14ac:dyDescent="0.3">
      <c r="B8" s="5" t="s">
        <v>7</v>
      </c>
      <c r="C8" s="8">
        <v>416161000000</v>
      </c>
      <c r="D8" s="8">
        <v>391035000000</v>
      </c>
    </row>
    <row r="9" spans="2:4" x14ac:dyDescent="0.3">
      <c r="B9" s="3" t="s">
        <v>8</v>
      </c>
      <c r="C9" s="9">
        <v>1848.4696656242329</v>
      </c>
      <c r="D9" t="s">
        <v>9</v>
      </c>
    </row>
    <row r="10" spans="2:4" x14ac:dyDescent="0.3">
      <c r="B10" s="5" t="s">
        <v>10</v>
      </c>
      <c r="C10" s="8">
        <v>98657000000</v>
      </c>
      <c r="D10" s="8">
        <v>106629000000</v>
      </c>
    </row>
    <row r="11" spans="2:4" x14ac:dyDescent="0.3">
      <c r="B11" s="3" t="s">
        <v>11</v>
      </c>
      <c r="C11" s="7">
        <v>98767000000</v>
      </c>
      <c r="D11" s="7">
        <v>108807000000</v>
      </c>
    </row>
    <row r="12" spans="2:4" x14ac:dyDescent="0.3">
      <c r="B12" s="5" t="s">
        <v>12</v>
      </c>
      <c r="C12" s="8">
        <v>112010000000</v>
      </c>
      <c r="D12" s="8">
        <v>93736000000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/>
  </sheetViews>
  <sheetFormatPr defaultRowHeight="14.4" x14ac:dyDescent="0.3"/>
  <cols>
    <col min="1" max="1" width="22" customWidth="1"/>
    <col min="2" max="9" width="18" customWidth="1"/>
  </cols>
  <sheetData>
    <row r="1" spans="1:9" x14ac:dyDescent="0.3">
      <c r="A1" s="2"/>
      <c r="B1" s="2" t="s">
        <v>7</v>
      </c>
      <c r="C1" s="2" t="s">
        <v>13</v>
      </c>
      <c r="D1" s="2" t="s">
        <v>14</v>
      </c>
      <c r="E1" s="2" t="s">
        <v>15</v>
      </c>
      <c r="F1" s="2" t="s">
        <v>12</v>
      </c>
      <c r="G1" s="2" t="s">
        <v>5</v>
      </c>
      <c r="H1" s="2" t="s">
        <v>4</v>
      </c>
      <c r="I1" s="2" t="s">
        <v>16</v>
      </c>
    </row>
    <row r="2" spans="1:9" x14ac:dyDescent="0.3">
      <c r="A2" s="10" t="s">
        <v>17</v>
      </c>
      <c r="B2" s="11">
        <v>416161000000</v>
      </c>
      <c r="C2" s="11">
        <v>195201000000</v>
      </c>
      <c r="D2" s="11">
        <v>133050000000</v>
      </c>
      <c r="E2" s="11">
        <v>144748000000</v>
      </c>
      <c r="F2" s="11">
        <v>112010000000</v>
      </c>
      <c r="G2" s="12">
        <v>46.91</v>
      </c>
      <c r="H2" s="12">
        <v>31.97</v>
      </c>
      <c r="I2" s="12">
        <v>26.92</v>
      </c>
    </row>
    <row r="3" spans="1:9" x14ac:dyDescent="0.3">
      <c r="A3" s="10" t="s">
        <v>18</v>
      </c>
      <c r="B3" s="13">
        <v>391035000000</v>
      </c>
      <c r="C3" s="13">
        <v>180683000000</v>
      </c>
      <c r="D3" s="13">
        <v>123216000000</v>
      </c>
      <c r="E3" s="13">
        <v>134661000000</v>
      </c>
      <c r="F3" s="13">
        <v>93736000000</v>
      </c>
      <c r="G3" s="14">
        <v>46.21</v>
      </c>
      <c r="H3" s="14">
        <v>31.51</v>
      </c>
      <c r="I3" s="14">
        <v>23.97</v>
      </c>
    </row>
    <row r="4" spans="1:9" x14ac:dyDescent="0.3">
      <c r="A4" s="10" t="s">
        <v>19</v>
      </c>
      <c r="B4" s="11">
        <v>383285000000</v>
      </c>
      <c r="C4" s="11">
        <v>169148000000</v>
      </c>
      <c r="D4" s="11">
        <v>114301000000</v>
      </c>
      <c r="E4" s="11">
        <v>125820000000</v>
      </c>
      <c r="F4" s="11">
        <v>96995000000</v>
      </c>
      <c r="G4" s="12">
        <v>44.13</v>
      </c>
      <c r="H4" s="12">
        <v>29.82</v>
      </c>
      <c r="I4" s="12">
        <v>25.31</v>
      </c>
    </row>
    <row r="5" spans="1:9" x14ac:dyDescent="0.3">
      <c r="A5" s="10" t="s">
        <v>20</v>
      </c>
      <c r="B5" s="13">
        <v>394328000000</v>
      </c>
      <c r="C5" s="13">
        <v>170782000000</v>
      </c>
      <c r="D5" s="13">
        <v>119437000000</v>
      </c>
      <c r="E5" s="13">
        <v>130541000000</v>
      </c>
      <c r="F5" s="13">
        <v>99803000000</v>
      </c>
      <c r="G5" s="14">
        <v>43.31</v>
      </c>
      <c r="H5" s="14">
        <v>30.29</v>
      </c>
      <c r="I5" s="14">
        <v>25.31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/>
  </sheetViews>
  <sheetFormatPr defaultRowHeight="14.4" x14ac:dyDescent="0.3"/>
  <cols>
    <col min="1" max="1" width="22" customWidth="1"/>
    <col min="2" max="8" width="18" customWidth="1"/>
  </cols>
  <sheetData>
    <row r="1" spans="1:8" x14ac:dyDescent="0.3">
      <c r="A1" s="2"/>
      <c r="B1" s="2" t="s">
        <v>21</v>
      </c>
      <c r="C1" s="2" t="s">
        <v>22</v>
      </c>
      <c r="D1" s="2" t="s">
        <v>23</v>
      </c>
      <c r="E1" s="2" t="s">
        <v>10</v>
      </c>
      <c r="F1" s="2" t="s">
        <v>24</v>
      </c>
      <c r="G1" s="2" t="s">
        <v>6</v>
      </c>
      <c r="H1" s="2" t="s">
        <v>25</v>
      </c>
    </row>
    <row r="2" spans="1:8" x14ac:dyDescent="0.3">
      <c r="A2" s="10" t="s">
        <v>17</v>
      </c>
      <c r="B2" s="11">
        <v>359241000000</v>
      </c>
      <c r="C2" s="11">
        <v>285508000000</v>
      </c>
      <c r="D2" s="11">
        <v>73733000000</v>
      </c>
      <c r="E2" s="11">
        <v>98657000000</v>
      </c>
      <c r="F2" s="11">
        <v>35934000000</v>
      </c>
      <c r="G2" s="11">
        <v>62723000000</v>
      </c>
      <c r="H2" s="15">
        <v>0</v>
      </c>
    </row>
    <row r="3" spans="1:8" x14ac:dyDescent="0.3">
      <c r="A3" s="10" t="s">
        <v>18</v>
      </c>
      <c r="B3" s="13">
        <v>364980000000</v>
      </c>
      <c r="C3" s="13">
        <v>308030000000</v>
      </c>
      <c r="D3" s="13">
        <v>56950000000</v>
      </c>
      <c r="E3" s="13">
        <v>106629000000</v>
      </c>
      <c r="F3" s="13">
        <v>29943000000</v>
      </c>
      <c r="G3" s="13">
        <v>76686000000</v>
      </c>
      <c r="H3" s="16">
        <v>0</v>
      </c>
    </row>
    <row r="4" spans="1:8" x14ac:dyDescent="0.3">
      <c r="A4" s="10" t="s">
        <v>19</v>
      </c>
      <c r="B4" s="11">
        <v>352583000000</v>
      </c>
      <c r="C4" s="11">
        <v>290437000000</v>
      </c>
      <c r="D4" s="11">
        <v>62146000000</v>
      </c>
      <c r="E4" s="11">
        <v>111088000000</v>
      </c>
      <c r="F4" s="11">
        <v>29965000000</v>
      </c>
      <c r="G4" s="11">
        <v>81123000000</v>
      </c>
      <c r="H4" s="15">
        <v>0</v>
      </c>
    </row>
    <row r="5" spans="1:8" x14ac:dyDescent="0.3">
      <c r="A5" s="10" t="s">
        <v>20</v>
      </c>
      <c r="B5" s="13">
        <v>352755000000</v>
      </c>
      <c r="C5" s="13">
        <v>302083000000</v>
      </c>
      <c r="D5" s="13">
        <v>50672000000</v>
      </c>
      <c r="E5" s="13">
        <v>132480000000</v>
      </c>
      <c r="F5" s="13">
        <v>23646000000</v>
      </c>
      <c r="G5" s="13">
        <v>96423000000</v>
      </c>
      <c r="H5" s="1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defaultRowHeight="14.4" x14ac:dyDescent="0.3"/>
  <cols>
    <col min="1" max="1" width="22" customWidth="1"/>
    <col min="2" max="5" width="18" customWidth="1"/>
  </cols>
  <sheetData>
    <row r="1" spans="1:5" x14ac:dyDescent="0.3">
      <c r="A1" s="2"/>
      <c r="B1" s="2" t="s">
        <v>26</v>
      </c>
      <c r="C1" s="2" t="s">
        <v>27</v>
      </c>
      <c r="D1" s="2" t="s">
        <v>11</v>
      </c>
      <c r="E1" s="2" t="s">
        <v>28</v>
      </c>
    </row>
    <row r="2" spans="1:5" x14ac:dyDescent="0.3">
      <c r="A2" s="10" t="s">
        <v>17</v>
      </c>
      <c r="B2" s="11">
        <v>111482000000</v>
      </c>
      <c r="C2" s="11">
        <v>-12715000000</v>
      </c>
      <c r="D2" s="11">
        <v>98767000000</v>
      </c>
      <c r="E2" s="11">
        <v>11698000000</v>
      </c>
    </row>
    <row r="3" spans="1:5" x14ac:dyDescent="0.3">
      <c r="A3" s="10" t="s">
        <v>18</v>
      </c>
      <c r="B3" s="13">
        <v>118254000000</v>
      </c>
      <c r="C3" s="13">
        <v>-9447000000</v>
      </c>
      <c r="D3" s="13">
        <v>108807000000</v>
      </c>
      <c r="E3" s="13">
        <v>11445000000</v>
      </c>
    </row>
    <row r="4" spans="1:5" x14ac:dyDescent="0.3">
      <c r="A4" s="10" t="s">
        <v>19</v>
      </c>
      <c r="B4" s="11">
        <v>110543000000</v>
      </c>
      <c r="C4" s="11">
        <v>-10959000000</v>
      </c>
      <c r="D4" s="11">
        <v>99584000000</v>
      </c>
      <c r="E4" s="11">
        <v>11519000000</v>
      </c>
    </row>
    <row r="5" spans="1:5" x14ac:dyDescent="0.3">
      <c r="A5" s="10" t="s">
        <v>20</v>
      </c>
      <c r="B5" s="13">
        <v>122151000000</v>
      </c>
      <c r="C5" s="13">
        <v>-10708000000</v>
      </c>
      <c r="D5" s="13">
        <v>111443000000</v>
      </c>
      <c r="E5" s="13">
        <v>11104000000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defaultRowHeight="14.4" x14ac:dyDescent="0.3"/>
  <cols>
    <col min="1" max="1" width="22" customWidth="1"/>
    <col min="2" max="4" width="18" customWidth="1"/>
  </cols>
  <sheetData>
    <row r="1" spans="1:4" x14ac:dyDescent="0.3">
      <c r="A1" s="2"/>
      <c r="B1" s="2" t="s">
        <v>29</v>
      </c>
      <c r="C1" s="2" t="s">
        <v>30</v>
      </c>
      <c r="D1" s="2" t="s">
        <v>31</v>
      </c>
    </row>
    <row r="2" spans="1:4" x14ac:dyDescent="0.3">
      <c r="A2" s="10">
        <v>0</v>
      </c>
      <c r="B2" s="15" t="s">
        <v>32</v>
      </c>
      <c r="C2" s="17">
        <v>103.71</v>
      </c>
      <c r="D2" s="17">
        <v>95.14</v>
      </c>
    </row>
    <row r="3" spans="1:4" x14ac:dyDescent="0.3">
      <c r="A3" s="10">
        <v>1</v>
      </c>
      <c r="B3" s="16" t="s">
        <v>33</v>
      </c>
      <c r="C3" s="18">
        <v>108.89</v>
      </c>
      <c r="D3" s="18">
        <v>91.65</v>
      </c>
    </row>
    <row r="4" spans="1:4" x14ac:dyDescent="0.3">
      <c r="A4" s="10">
        <v>2</v>
      </c>
      <c r="B4" s="15" t="s">
        <v>34</v>
      </c>
      <c r="C4" s="17">
        <v>114.34</v>
      </c>
      <c r="D4" s="17">
        <v>88.29</v>
      </c>
    </row>
    <row r="5" spans="1:4" x14ac:dyDescent="0.3">
      <c r="A5" s="10">
        <v>3</v>
      </c>
      <c r="B5" s="16" t="s">
        <v>35</v>
      </c>
      <c r="C5" s="18">
        <v>120.05</v>
      </c>
      <c r="D5" s="18">
        <v>85.05</v>
      </c>
    </row>
    <row r="6" spans="1:4" x14ac:dyDescent="0.3">
      <c r="A6" s="10">
        <v>4</v>
      </c>
      <c r="B6" s="15" t="s">
        <v>36</v>
      </c>
      <c r="C6" s="17">
        <v>126.05</v>
      </c>
      <c r="D6" s="17">
        <v>81.93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tabSelected="1" workbookViewId="0">
      <selection activeCell="C8" sqref="C8"/>
    </sheetView>
  </sheetViews>
  <sheetFormatPr defaultRowHeight="14.4" x14ac:dyDescent="0.3"/>
  <sheetData>
    <row r="1" spans="1:3" x14ac:dyDescent="0.3">
      <c r="A1" t="s">
        <v>29</v>
      </c>
      <c r="B1" t="s">
        <v>37</v>
      </c>
      <c r="C1" t="s">
        <v>38</v>
      </c>
    </row>
    <row r="2" spans="1:3" x14ac:dyDescent="0.3">
      <c r="A2" t="s">
        <v>39</v>
      </c>
      <c r="B2">
        <v>416.2</v>
      </c>
      <c r="C2">
        <v>98.8</v>
      </c>
    </row>
    <row r="3" spans="1:3" x14ac:dyDescent="0.3">
      <c r="A3" t="s">
        <v>40</v>
      </c>
      <c r="B3">
        <v>391</v>
      </c>
      <c r="C3">
        <v>108.8</v>
      </c>
    </row>
    <row r="4" spans="1:3" x14ac:dyDescent="0.3">
      <c r="A4" t="s">
        <v>41</v>
      </c>
      <c r="B4">
        <v>383.3</v>
      </c>
      <c r="C4">
        <v>99.6</v>
      </c>
    </row>
    <row r="5" spans="1:3" x14ac:dyDescent="0.3">
      <c r="A5" t="s">
        <v>42</v>
      </c>
      <c r="B5">
        <v>394.3</v>
      </c>
      <c r="C5">
        <v>111.4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Income Statement</vt:lpstr>
      <vt:lpstr>Balance Sheet</vt:lpstr>
      <vt:lpstr>Cash Flow</vt:lpstr>
      <vt:lpstr>DCF Valuation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l</cp:lastModifiedBy>
  <dcterms:created xsi:type="dcterms:W3CDTF">2026-03-31T10:44:19Z</dcterms:created>
  <dcterms:modified xsi:type="dcterms:W3CDTF">2026-03-31T11:18:15Z</dcterms:modified>
</cp:coreProperties>
</file>